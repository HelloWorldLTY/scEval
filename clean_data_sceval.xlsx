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tianyu_liu_yale_edu/Documents/PhD/scgpt/"/>
    </mc:Choice>
  </mc:AlternateContent>
  <xr:revisionPtr revIDLastSave="45" documentId="8_{BD87DD00-20A8-5040-AFFB-1245DCD049B7}" xr6:coauthVersionLast="47" xr6:coauthVersionMax="47" xr10:uidLastSave="{3505342B-6A15-5C49-8062-2ED7CA236DAA}"/>
  <bookViews>
    <workbookView xWindow="11100" yWindow="3500" windowWidth="27240" windowHeight="16440" activeTab="5" xr2:uid="{70B459A6-8752-D849-B3D7-24573CCC08AF}"/>
  </bookViews>
  <sheets>
    <sheet name="cta" sheetId="1" r:id="rId1"/>
    <sheet name="bec" sheetId="2" r:id="rId2"/>
    <sheet name="moi" sheetId="3" r:id="rId3"/>
    <sheet name="imp" sheetId="4" r:id="rId4"/>
    <sheet name="gfp" sheetId="5" r:id="rId5"/>
    <sheet name="per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2" l="1"/>
  <c r="K13" i="2"/>
  <c r="H5" i="3"/>
  <c r="G5" i="3"/>
  <c r="H4" i="3"/>
  <c r="G4" i="3"/>
  <c r="H3" i="3"/>
  <c r="G3" i="3"/>
  <c r="H2" i="3"/>
  <c r="G2" i="3"/>
  <c r="I13" i="2"/>
  <c r="H13" i="2"/>
  <c r="G13" i="2"/>
  <c r="F13" i="2"/>
  <c r="E13" i="2"/>
  <c r="D13" i="2"/>
  <c r="C13" i="2"/>
  <c r="B13" i="2"/>
</calcChain>
</file>

<file path=xl/sharedStrings.xml><?xml version="1.0" encoding="utf-8"?>
<sst xmlns="http://schemas.openxmlformats.org/spreadsheetml/2006/main" count="157" uniqueCount="79">
  <si>
    <t>Pancrm</t>
  </si>
  <si>
    <t>HumanPBMC</t>
  </si>
  <si>
    <t>Cell Lines</t>
  </si>
  <si>
    <t>MCA</t>
  </si>
  <si>
    <t>DC</t>
  </si>
  <si>
    <t>PBMC368k</t>
  </si>
  <si>
    <t>Immue All Human</t>
  </si>
  <si>
    <t>MHSP</t>
  </si>
  <si>
    <t>MB spatial</t>
  </si>
  <si>
    <t>Pancreas cross</t>
  </si>
  <si>
    <t>Liver cross</t>
  </si>
  <si>
    <t>scGPT</t>
  </si>
  <si>
    <t>scBERT</t>
  </si>
  <si>
    <t>Geneformer</t>
  </si>
  <si>
    <t>CellLM</t>
  </si>
  <si>
    <t>TOSICA</t>
  </si>
  <si>
    <t>scimilarity</t>
  </si>
  <si>
    <t>CellPLM</t>
  </si>
  <si>
    <t>UCE</t>
  </si>
  <si>
    <t>SVC</t>
  </si>
  <si>
    <t>scGPT v1</t>
  </si>
  <si>
    <t>ResPAN</t>
  </si>
  <si>
    <t>Harmony</t>
  </si>
  <si>
    <t>Scimilarity</t>
  </si>
  <si>
    <t>tGPT</t>
  </si>
  <si>
    <t>Raw</t>
  </si>
  <si>
    <t>max</t>
  </si>
  <si>
    <t>min</t>
  </si>
  <si>
    <t>Immue atlas</t>
  </si>
  <si>
    <t>Lung atlas</t>
  </si>
  <si>
    <t>Heart atlas</t>
  </si>
  <si>
    <t>Average</t>
  </si>
  <si>
    <t>scGPT full</t>
  </si>
  <si>
    <t>scJoint</t>
  </si>
  <si>
    <t>scGLUE</t>
  </si>
  <si>
    <t>PBMC</t>
  </si>
  <si>
    <t>HSPC</t>
  </si>
  <si>
    <t>Kidney</t>
  </si>
  <si>
    <t>Endo</t>
  </si>
  <si>
    <t>scRNA</t>
  </si>
  <si>
    <t>t1</t>
  </si>
  <si>
    <t>Accuracy</t>
  </si>
  <si>
    <t>Precision</t>
  </si>
  <si>
    <t>Recall</t>
  </si>
  <si>
    <t>F1</t>
  </si>
  <si>
    <t>Vanilla NN</t>
  </si>
  <si>
    <t>Vanilla Gene2vec</t>
  </si>
  <si>
    <t>t2</t>
  </si>
  <si>
    <t>t3</t>
  </si>
  <si>
    <t>zeroshot</t>
  </si>
  <si>
    <t>no pretrain</t>
  </si>
  <si>
    <t>freeze except encoder</t>
  </si>
  <si>
    <t>freeze except decoder</t>
  </si>
  <si>
    <t>GEARS</t>
  </si>
  <si>
    <t>scFoundation</t>
  </si>
  <si>
    <t>norman</t>
  </si>
  <si>
    <t>dixit</t>
  </si>
  <si>
    <t>adamson</t>
  </si>
  <si>
    <t>OOT</t>
  </si>
  <si>
    <t>raw</t>
  </si>
  <si>
    <t>PBMC 368K</t>
  </si>
  <si>
    <t>Immune All Human</t>
  </si>
  <si>
    <t>Mouse scRNA-seq</t>
  </si>
  <si>
    <t>MB Spatial</t>
  </si>
  <si>
    <t>spatial</t>
  </si>
  <si>
    <t>scGPT (zero-shots)</t>
  </si>
  <si>
    <t>Tangram</t>
  </si>
  <si>
    <t>spearman</t>
  </si>
  <si>
    <t>correlation</t>
  </si>
  <si>
    <t>significance proportion</t>
  </si>
  <si>
    <t>average bio</t>
  </si>
  <si>
    <t>final corr</t>
  </si>
  <si>
    <t>CellFM</t>
  </si>
  <si>
    <t>CellFM_ft</t>
  </si>
  <si>
    <t>mse</t>
  </si>
  <si>
    <t>final val error</t>
  </si>
  <si>
    <t>pcc_gene</t>
  </si>
  <si>
    <t>deg corr</t>
  </si>
  <si>
    <t>deg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</si>
</sst>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Var(--jp-code-font-family)"/>
    </font>
    <font>
      <sz val="6"/>
      <color rgb="FF000000"/>
      <name val="Courier New"/>
      <family val="3"/>
    </font>
    <font>
      <b/>
      <sz val="12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0" fillId="0" borderId="1" xfId="0" applyBorder="1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1" fontId="2" fillId="0" borderId="0" xfId="0" applyNumberFormat="1" applyFont="1"/>
    <xf numFmtId="2" fontId="2" fillId="0" borderId="0" xfId="0" quotePrefix="1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AAFC-05C7-634A-B5FA-89495DA095C6}">
  <dimension ref="A1:K12"/>
  <sheetViews>
    <sheetView workbookViewId="0">
      <selection activeCell="K2" sqref="K2"/>
    </sheetView>
  </sheetViews>
  <sheetFormatPr baseColWidth="10" defaultRowHeight="16"/>
  <sheetData>
    <row r="1" spans="1:11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72</v>
      </c>
    </row>
    <row r="2" spans="1:11">
      <c r="A2" t="s">
        <v>0</v>
      </c>
      <c r="B2">
        <v>0.95479999999999998</v>
      </c>
      <c r="C2">
        <v>0.90369999999999995</v>
      </c>
      <c r="D2">
        <v>0.97723187537447498</v>
      </c>
      <c r="E2">
        <v>0</v>
      </c>
      <c r="F2">
        <v>0.95809999999999995</v>
      </c>
      <c r="G2">
        <v>0.6875</v>
      </c>
      <c r="H2">
        <v>0.98860000000000003</v>
      </c>
      <c r="I2">
        <v>0.87109999999999999</v>
      </c>
      <c r="J2" s="1">
        <v>0.53700000000000003</v>
      </c>
      <c r="K2" s="5">
        <v>0.95</v>
      </c>
    </row>
    <row r="3" spans="1:11">
      <c r="A3" t="s">
        <v>1</v>
      </c>
      <c r="B3">
        <v>0.9677</v>
      </c>
      <c r="C3">
        <v>0.97250000000000003</v>
      </c>
      <c r="D3">
        <v>0.96532414387249599</v>
      </c>
      <c r="E3">
        <v>0</v>
      </c>
      <c r="F3">
        <v>0.48280000000000001</v>
      </c>
      <c r="G3">
        <v>0.5696</v>
      </c>
      <c r="H3">
        <v>0.97509999999999997</v>
      </c>
      <c r="I3">
        <v>0.96430000000000005</v>
      </c>
      <c r="J3" s="1">
        <v>0.96079999999999999</v>
      </c>
      <c r="K3" s="5">
        <v>0.88</v>
      </c>
    </row>
    <row r="4" spans="1:11">
      <c r="A4" t="s">
        <v>2</v>
      </c>
      <c r="B4">
        <v>0.99280000000000002</v>
      </c>
      <c r="C4">
        <v>0.99370000000000003</v>
      </c>
      <c r="D4">
        <v>0.99400074990626097</v>
      </c>
      <c r="E4">
        <v>0.4</v>
      </c>
      <c r="F4">
        <v>0.99109999999999998</v>
      </c>
      <c r="G4">
        <v>0</v>
      </c>
      <c r="H4">
        <v>0.99350000000000005</v>
      </c>
      <c r="I4">
        <v>0.99180000000000001</v>
      </c>
      <c r="J4" s="1">
        <v>0.99329999999999996</v>
      </c>
      <c r="K4" s="5">
        <v>0.98</v>
      </c>
    </row>
    <row r="5" spans="1:11">
      <c r="A5" t="s">
        <v>3</v>
      </c>
      <c r="B5">
        <v>0.94379999999999997</v>
      </c>
      <c r="C5">
        <v>0.87429999999999997</v>
      </c>
      <c r="D5">
        <v>0.94295302013422799</v>
      </c>
      <c r="E5">
        <v>0.19</v>
      </c>
      <c r="F5">
        <v>0.89410000000000001</v>
      </c>
      <c r="G5">
        <v>0.56759999999999999</v>
      </c>
      <c r="H5">
        <v>0.96120000000000005</v>
      </c>
      <c r="I5">
        <v>0.93410000000000004</v>
      </c>
      <c r="J5" s="1">
        <v>0.50309999999999999</v>
      </c>
      <c r="K5" s="5">
        <v>0.9</v>
      </c>
    </row>
    <row r="6" spans="1:11">
      <c r="A6" t="s">
        <v>4</v>
      </c>
      <c r="B6">
        <v>0.92549999999999999</v>
      </c>
      <c r="C6">
        <v>0.65429999999999999</v>
      </c>
      <c r="D6">
        <v>0.80116959064327398</v>
      </c>
      <c r="E6">
        <v>0.26</v>
      </c>
      <c r="F6">
        <v>0.2074</v>
      </c>
      <c r="G6">
        <v>0.30049999999999999</v>
      </c>
      <c r="H6">
        <v>0.95740000000000003</v>
      </c>
      <c r="I6">
        <v>0.96850000000000003</v>
      </c>
      <c r="J6" s="1">
        <v>0.9738</v>
      </c>
      <c r="K6" s="5">
        <v>0.74</v>
      </c>
    </row>
    <row r="7" spans="1:11">
      <c r="A7" t="s">
        <v>5</v>
      </c>
      <c r="B7">
        <v>0.94059999999999999</v>
      </c>
      <c r="C7">
        <v>0.56989999999999996</v>
      </c>
      <c r="D7">
        <v>0.94751976994967602</v>
      </c>
      <c r="E7">
        <v>0</v>
      </c>
      <c r="F7">
        <v>0.74660000000000004</v>
      </c>
      <c r="G7">
        <v>0.6</v>
      </c>
      <c r="H7">
        <v>0.94059999999999999</v>
      </c>
      <c r="I7">
        <v>0.94530000000000003</v>
      </c>
      <c r="J7" s="1">
        <v>0.9234</v>
      </c>
      <c r="K7" s="5">
        <v>0.83</v>
      </c>
    </row>
    <row r="8" spans="1:11">
      <c r="A8" t="s">
        <v>6</v>
      </c>
      <c r="B8">
        <v>0.93410000000000004</v>
      </c>
      <c r="C8">
        <v>0.92849999999999999</v>
      </c>
      <c r="D8">
        <v>0.93553521687226404</v>
      </c>
      <c r="E8">
        <v>0.3</v>
      </c>
      <c r="F8">
        <v>0.61299999999999999</v>
      </c>
      <c r="G8">
        <v>0.37190000000000001</v>
      </c>
      <c r="H8">
        <v>0.91</v>
      </c>
      <c r="I8">
        <v>0.91200000000000003</v>
      </c>
      <c r="J8" s="1">
        <v>0.92859999999999998</v>
      </c>
      <c r="K8" s="5">
        <v>0.89</v>
      </c>
    </row>
    <row r="9" spans="1:11">
      <c r="A9" t="s">
        <v>7</v>
      </c>
      <c r="B9">
        <v>0.81540000000000001</v>
      </c>
      <c r="C9">
        <v>0.8407</v>
      </c>
      <c r="D9">
        <v>0.777689243027888</v>
      </c>
      <c r="E9">
        <v>0.3</v>
      </c>
      <c r="F9">
        <v>0</v>
      </c>
      <c r="G9">
        <v>0</v>
      </c>
      <c r="H9">
        <v>0.82040000000000002</v>
      </c>
      <c r="I9">
        <v>0.71319999999999995</v>
      </c>
      <c r="J9" s="1">
        <v>0.36670000000000003</v>
      </c>
      <c r="K9" s="5">
        <v>0.73</v>
      </c>
    </row>
    <row r="10" spans="1:11">
      <c r="A10" t="s">
        <v>8</v>
      </c>
      <c r="B10">
        <v>0.52969999999999995</v>
      </c>
      <c r="C10">
        <v>0.58299999999999996</v>
      </c>
      <c r="D10">
        <v>0.544033184</v>
      </c>
      <c r="E10">
        <v>0.19</v>
      </c>
      <c r="F10">
        <v>0</v>
      </c>
      <c r="G10">
        <v>0</v>
      </c>
      <c r="H10">
        <v>0.57089999999999996</v>
      </c>
      <c r="I10">
        <v>0</v>
      </c>
      <c r="J10" s="1">
        <v>0.52459999999999996</v>
      </c>
      <c r="K10" s="5">
        <v>0.71</v>
      </c>
    </row>
    <row r="11" spans="1:11">
      <c r="A11" t="s">
        <v>9</v>
      </c>
      <c r="B11">
        <v>0.97389999999999999</v>
      </c>
      <c r="C11">
        <v>0.11890000000000001</v>
      </c>
      <c r="D11">
        <v>0.94902797534376404</v>
      </c>
      <c r="E11">
        <v>0.28000000000000003</v>
      </c>
      <c r="F11">
        <v>0.11360000000000001</v>
      </c>
      <c r="G11">
        <v>0</v>
      </c>
      <c r="H11">
        <v>0.96109999999999995</v>
      </c>
      <c r="I11">
        <v>0.90749999999999997</v>
      </c>
      <c r="J11" s="1">
        <v>0.97560000000000002</v>
      </c>
      <c r="K11" s="5">
        <v>0.97</v>
      </c>
    </row>
    <row r="12" spans="1:11">
      <c r="A12" t="s">
        <v>10</v>
      </c>
      <c r="B12">
        <v>0.4753</v>
      </c>
      <c r="C12">
        <v>0.15110000000000001</v>
      </c>
      <c r="D12">
        <v>0.477515826238812</v>
      </c>
      <c r="E12">
        <v>0</v>
      </c>
      <c r="F12">
        <v>0.48380000000000001</v>
      </c>
      <c r="G12">
        <v>0.39040000000000002</v>
      </c>
      <c r="H12">
        <v>0.47970000000000002</v>
      </c>
      <c r="I12">
        <v>0.4824</v>
      </c>
      <c r="J12" s="1">
        <v>0.49030000000000001</v>
      </c>
      <c r="K12"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0A0C-48AB-7D44-BC89-F02A1C219083}">
  <dimension ref="A1:K13"/>
  <sheetViews>
    <sheetView workbookViewId="0">
      <selection activeCell="K2" sqref="K2"/>
    </sheetView>
  </sheetViews>
  <sheetFormatPr baseColWidth="10" defaultRowHeight="16"/>
  <sheetData>
    <row r="1" spans="1:11">
      <c r="B1" t="s">
        <v>11</v>
      </c>
      <c r="C1" t="s">
        <v>20</v>
      </c>
      <c r="D1" t="s">
        <v>21</v>
      </c>
      <c r="E1" t="s">
        <v>22</v>
      </c>
      <c r="F1" t="s">
        <v>23</v>
      </c>
      <c r="G1" t="s">
        <v>18</v>
      </c>
      <c r="H1" t="s">
        <v>24</v>
      </c>
      <c r="I1" t="s">
        <v>25</v>
      </c>
      <c r="J1" t="s">
        <v>72</v>
      </c>
      <c r="K1" t="s">
        <v>73</v>
      </c>
    </row>
    <row r="2" spans="1:11">
      <c r="A2" t="s">
        <v>0</v>
      </c>
      <c r="B2">
        <v>0.56702999999999992</v>
      </c>
      <c r="C2">
        <v>0.67336970000000007</v>
      </c>
      <c r="D2">
        <v>0.65560299999999994</v>
      </c>
      <c r="E2">
        <v>0.82976799999999995</v>
      </c>
      <c r="F2">
        <v>0.64627370000000006</v>
      </c>
      <c r="G2">
        <v>0.49338870000000001</v>
      </c>
      <c r="H2">
        <v>0.49448573333333334</v>
      </c>
      <c r="I2">
        <v>0.66753210000000007</v>
      </c>
      <c r="J2">
        <v>0.32171569999999999</v>
      </c>
      <c r="K2">
        <v>0.39173599999999997</v>
      </c>
    </row>
    <row r="3" spans="1:11">
      <c r="A3" t="s">
        <v>1</v>
      </c>
      <c r="B3">
        <v>0.63117730000000005</v>
      </c>
      <c r="C3">
        <v>0.66281440000000003</v>
      </c>
      <c r="D3">
        <v>0.70086539999999997</v>
      </c>
      <c r="E3">
        <v>0.81538729999999993</v>
      </c>
      <c r="F3">
        <v>0.67529170000000005</v>
      </c>
      <c r="G3">
        <v>0.50600970000000001</v>
      </c>
      <c r="H3">
        <v>0.425916730078015</v>
      </c>
      <c r="I3">
        <v>0.6166701</v>
      </c>
      <c r="J3">
        <v>0.42696210000000001</v>
      </c>
      <c r="K3">
        <v>0.39977140000000005</v>
      </c>
    </row>
    <row r="4" spans="1:11">
      <c r="A4" t="s">
        <v>2</v>
      </c>
      <c r="B4">
        <v>0.77083009999999996</v>
      </c>
      <c r="C4">
        <v>0.71603130000000004</v>
      </c>
      <c r="D4">
        <v>0.79464589999999991</v>
      </c>
      <c r="E4">
        <v>0.83939830000000004</v>
      </c>
      <c r="F4">
        <v>0.75636409999999998</v>
      </c>
      <c r="G4">
        <v>0.75774200000000003</v>
      </c>
      <c r="H4">
        <v>0.59140099999999995</v>
      </c>
      <c r="I4">
        <v>0.68654550000000003</v>
      </c>
      <c r="J4">
        <v>0.73255689999999996</v>
      </c>
      <c r="K4">
        <v>0.49448820000000004</v>
      </c>
    </row>
    <row r="5" spans="1:11">
      <c r="A5" t="s">
        <v>3</v>
      </c>
      <c r="B5">
        <v>0.60879970000000005</v>
      </c>
      <c r="C5">
        <v>0.62394800000000006</v>
      </c>
      <c r="D5">
        <v>0.65489509999999995</v>
      </c>
      <c r="E5">
        <v>0.67581009999999997</v>
      </c>
      <c r="F5">
        <v>0.70302829999999994</v>
      </c>
      <c r="G5">
        <v>0.55045290000000002</v>
      </c>
      <c r="H5">
        <v>0.1417293</v>
      </c>
      <c r="I5">
        <v>0.57891711936504997</v>
      </c>
      <c r="J5">
        <v>0.34594840000000004</v>
      </c>
      <c r="K5">
        <v>0.36446250000000002</v>
      </c>
    </row>
    <row r="6" spans="1:11">
      <c r="A6" t="s">
        <v>4</v>
      </c>
      <c r="B6">
        <v>0.34447519999999998</v>
      </c>
      <c r="C6">
        <v>0.74528609999999995</v>
      </c>
      <c r="D6">
        <v>0.62439310000000003</v>
      </c>
      <c r="E6">
        <v>0.67084169999999999</v>
      </c>
      <c r="F6">
        <v>0.76594479999999998</v>
      </c>
      <c r="G6">
        <v>0.82499539999999993</v>
      </c>
      <c r="H6">
        <v>0.58810240000000003</v>
      </c>
      <c r="I6">
        <v>0.68251610000000007</v>
      </c>
      <c r="J6">
        <v>0.52064770000000005</v>
      </c>
      <c r="K6">
        <v>0.38907140000000001</v>
      </c>
    </row>
    <row r="7" spans="1:11">
      <c r="A7" t="s">
        <v>5</v>
      </c>
      <c r="B7">
        <v>0.70562479999999994</v>
      </c>
      <c r="C7">
        <v>0.69079240000000008</v>
      </c>
      <c r="D7">
        <v>0.72750740000000003</v>
      </c>
      <c r="E7">
        <v>0.73584129999999992</v>
      </c>
      <c r="F7">
        <v>0.67594360000000009</v>
      </c>
      <c r="G7">
        <v>0.68214789999999992</v>
      </c>
      <c r="H7">
        <v>0.51932230000000001</v>
      </c>
      <c r="I7">
        <v>0.66118440000000001</v>
      </c>
      <c r="J7">
        <v>0.31747730000000002</v>
      </c>
      <c r="K7">
        <v>0.38043499999999997</v>
      </c>
    </row>
    <row r="8" spans="1:11">
      <c r="A8" t="s">
        <v>6</v>
      </c>
      <c r="B8">
        <v>0.70664979999999999</v>
      </c>
      <c r="C8">
        <v>0.56536140000000001</v>
      </c>
      <c r="D8">
        <v>0.61895420000000001</v>
      </c>
      <c r="E8">
        <v>0.70129770000000002</v>
      </c>
      <c r="F8">
        <v>0.65136630000000006</v>
      </c>
      <c r="G8">
        <v>0.58972310000000006</v>
      </c>
      <c r="H8">
        <v>0.48832059999999999</v>
      </c>
      <c r="I8">
        <v>0.66118440000000001</v>
      </c>
      <c r="J8">
        <v>0.36579669999999997</v>
      </c>
      <c r="K8">
        <v>0.33961599999999997</v>
      </c>
    </row>
    <row r="9" spans="1:11">
      <c r="A9" t="s">
        <v>7</v>
      </c>
      <c r="B9">
        <v>0.39679380000000003</v>
      </c>
      <c r="C9">
        <v>0.44372889999999998</v>
      </c>
      <c r="D9">
        <v>0.53814040000000007</v>
      </c>
      <c r="E9">
        <v>0.6106026</v>
      </c>
      <c r="F9">
        <v>0</v>
      </c>
      <c r="G9">
        <v>0.46032780000000001</v>
      </c>
      <c r="H9">
        <v>0.25891135571378998</v>
      </c>
      <c r="I9">
        <v>0.48975939999999996</v>
      </c>
      <c r="J9">
        <v>0.3153743</v>
      </c>
      <c r="K9">
        <v>0.27553080000000002</v>
      </c>
    </row>
    <row r="10" spans="1:11">
      <c r="A10" t="s">
        <v>28</v>
      </c>
      <c r="B10">
        <v>0.38436839999999994</v>
      </c>
      <c r="C10">
        <v>0.37990210000000002</v>
      </c>
      <c r="D10">
        <v>0.62628110000000003</v>
      </c>
      <c r="E10">
        <v>0.49808049999999998</v>
      </c>
      <c r="F10">
        <v>0.41404540000000001</v>
      </c>
      <c r="G10">
        <v>0</v>
      </c>
      <c r="H10">
        <v>0.50129418060028996</v>
      </c>
      <c r="I10">
        <v>0.59937799999999997</v>
      </c>
      <c r="J10">
        <v>0.3559871</v>
      </c>
      <c r="K10">
        <v>0.33791819999999995</v>
      </c>
    </row>
    <row r="11" spans="1:11">
      <c r="A11" t="s">
        <v>29</v>
      </c>
      <c r="B11">
        <v>0.60563440000000002</v>
      </c>
      <c r="C11">
        <v>0.62190060000000003</v>
      </c>
      <c r="D11">
        <v>0.6223457</v>
      </c>
      <c r="E11">
        <v>0.5622678000000001</v>
      </c>
      <c r="F11">
        <v>0.45300010000000002</v>
      </c>
      <c r="G11">
        <v>0</v>
      </c>
      <c r="H11">
        <v>0.56327090578047689</v>
      </c>
      <c r="I11">
        <v>0.6202162</v>
      </c>
      <c r="J11">
        <v>0.46343310000000004</v>
      </c>
      <c r="K11">
        <v>0.3092975</v>
      </c>
    </row>
    <row r="12" spans="1:11">
      <c r="A12" t="s">
        <v>30</v>
      </c>
      <c r="B12">
        <v>0.61337789999999992</v>
      </c>
      <c r="C12">
        <v>0.68781530000000002</v>
      </c>
      <c r="D12">
        <v>0.67803809999999998</v>
      </c>
      <c r="E12">
        <v>0.77207519999999996</v>
      </c>
      <c r="F12">
        <v>0.41748240000000003</v>
      </c>
      <c r="G12">
        <v>0</v>
      </c>
      <c r="H12">
        <v>0.61995308476170097</v>
      </c>
      <c r="I12">
        <v>0.71403510000000003</v>
      </c>
      <c r="J12">
        <v>0.50854529999999998</v>
      </c>
      <c r="K12">
        <v>0.4025548000000001</v>
      </c>
    </row>
    <row r="13" spans="1:11">
      <c r="A13" s="2" t="s">
        <v>31</v>
      </c>
      <c r="B13">
        <f>AVERAGE(B2:B12)</f>
        <v>0.57588739999999994</v>
      </c>
      <c r="C13">
        <f t="shared" ref="C13:K13" si="0">AVERAGE(C2:C12)</f>
        <v>0.61917729090909079</v>
      </c>
      <c r="D13">
        <f t="shared" si="0"/>
        <v>0.65833358181818191</v>
      </c>
      <c r="E13">
        <f t="shared" si="0"/>
        <v>0.70103368181818182</v>
      </c>
      <c r="F13">
        <f t="shared" si="0"/>
        <v>0.5598854909090909</v>
      </c>
      <c r="G13">
        <f t="shared" si="0"/>
        <v>0.44225340909090904</v>
      </c>
      <c r="H13">
        <f t="shared" si="0"/>
        <v>0.47206432638796419</v>
      </c>
      <c r="I13">
        <f t="shared" si="0"/>
        <v>0.63435803812409541</v>
      </c>
      <c r="J13">
        <f t="shared" si="0"/>
        <v>0.42494950909090917</v>
      </c>
      <c r="K13">
        <f t="shared" si="0"/>
        <v>0.3713528909090909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99C0-7304-1B49-9F05-6CCC9720B3E1}">
  <dimension ref="A1:H5"/>
  <sheetViews>
    <sheetView workbookViewId="0">
      <selection activeCell="E19" sqref="E19"/>
    </sheetView>
  </sheetViews>
  <sheetFormatPr baseColWidth="10" defaultRowHeight="16"/>
  <sheetData>
    <row r="1" spans="1:8">
      <c r="B1" t="s">
        <v>32</v>
      </c>
      <c r="C1" t="s">
        <v>20</v>
      </c>
      <c r="D1" t="s">
        <v>33</v>
      </c>
      <c r="E1" t="s">
        <v>34</v>
      </c>
      <c r="F1" t="s">
        <v>25</v>
      </c>
      <c r="G1" t="s">
        <v>26</v>
      </c>
      <c r="H1" t="s">
        <v>27</v>
      </c>
    </row>
    <row r="2" spans="1:8">
      <c r="A2" t="s">
        <v>35</v>
      </c>
      <c r="B2">
        <v>0.42049940000000002</v>
      </c>
      <c r="C2">
        <v>0.3673573</v>
      </c>
      <c r="D2">
        <v>0.70558639999999995</v>
      </c>
      <c r="E2">
        <v>0.71889420000000004</v>
      </c>
      <c r="F2">
        <v>0.51449159999999994</v>
      </c>
      <c r="G2">
        <f>MAX(B2:F2)</f>
        <v>0.71889420000000004</v>
      </c>
      <c r="H2">
        <f>MIN(B2:F2)</f>
        <v>0.3673573</v>
      </c>
    </row>
    <row r="3" spans="1:8">
      <c r="A3" t="s">
        <v>36</v>
      </c>
      <c r="B3">
        <v>0.36283799999999999</v>
      </c>
      <c r="C3">
        <v>0.231462</v>
      </c>
      <c r="D3">
        <v>0.53171619999999997</v>
      </c>
      <c r="E3">
        <v>0.60486189999999995</v>
      </c>
      <c r="F3">
        <v>0.49177030000000005</v>
      </c>
      <c r="G3">
        <f t="shared" ref="G3:G5" si="0">MAX(B3:F3)</f>
        <v>0.60486189999999995</v>
      </c>
      <c r="H3">
        <f t="shared" ref="H3:H5" si="1">MIN(B3:F3)</f>
        <v>0.231462</v>
      </c>
    </row>
    <row r="4" spans="1:8">
      <c r="A4" t="s">
        <v>37</v>
      </c>
      <c r="B4">
        <v>0.53227179999999996</v>
      </c>
      <c r="C4">
        <v>0.47281999999999996</v>
      </c>
      <c r="D4">
        <v>0.83990009999999993</v>
      </c>
      <c r="E4">
        <v>0.83140499999999995</v>
      </c>
      <c r="F4">
        <v>0.63385189919902796</v>
      </c>
      <c r="G4">
        <f t="shared" si="0"/>
        <v>0.83990009999999993</v>
      </c>
      <c r="H4">
        <f t="shared" si="1"/>
        <v>0.47281999999999996</v>
      </c>
    </row>
    <row r="5" spans="1:8">
      <c r="A5" t="s">
        <v>38</v>
      </c>
      <c r="B5">
        <v>0.18599750000000004</v>
      </c>
      <c r="C5">
        <v>0.19122880000000003</v>
      </c>
      <c r="D5">
        <v>0.20874099999999998</v>
      </c>
      <c r="E5">
        <v>0.48791110000000004</v>
      </c>
      <c r="F5">
        <v>0.25342183914661004</v>
      </c>
      <c r="G5">
        <f t="shared" si="0"/>
        <v>0.48791110000000004</v>
      </c>
      <c r="H5">
        <f t="shared" si="1"/>
        <v>0.18599750000000004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54585-72B2-3C4A-9022-6A43C2314DA7}">
  <dimension ref="A1:E18"/>
  <sheetViews>
    <sheetView workbookViewId="0">
      <selection activeCell="E4" sqref="E4"/>
    </sheetView>
  </sheetViews>
  <sheetFormatPr baseColWidth="10" defaultRowHeight="16"/>
  <cols>
    <col min="1" max="1" width="18.83203125" customWidth="1"/>
  </cols>
  <sheetData>
    <row r="1" spans="1:5">
      <c r="A1" t="s">
        <v>39</v>
      </c>
    </row>
    <row r="2" spans="1:5">
      <c r="A2" s="5"/>
      <c r="B2" t="s">
        <v>59</v>
      </c>
      <c r="C2" t="s">
        <v>11</v>
      </c>
    </row>
    <row r="3" spans="1:5">
      <c r="A3" s="6" t="s">
        <v>0</v>
      </c>
      <c r="B3">
        <v>0.63116166666666673</v>
      </c>
      <c r="C3">
        <v>3.2898000000000004E-2</v>
      </c>
    </row>
    <row r="4" spans="1:5">
      <c r="A4" s="6" t="s">
        <v>1</v>
      </c>
      <c r="B4">
        <v>0.61663500000000004</v>
      </c>
      <c r="C4">
        <v>0</v>
      </c>
    </row>
    <row r="5" spans="1:5">
      <c r="A5" s="6" t="s">
        <v>2</v>
      </c>
      <c r="B5">
        <v>0.73883466666666664</v>
      </c>
      <c r="C5">
        <v>0.46392633333333327</v>
      </c>
    </row>
    <row r="6" spans="1:5">
      <c r="A6" s="6" t="s">
        <v>3</v>
      </c>
      <c r="B6">
        <v>0.61442033333333335</v>
      </c>
      <c r="C6">
        <v>0.21806533333333333</v>
      </c>
    </row>
    <row r="7" spans="1:5">
      <c r="A7" s="6" t="s">
        <v>4</v>
      </c>
      <c r="B7">
        <v>0.74833800000000006</v>
      </c>
      <c r="C7">
        <v>0.33522033333333329</v>
      </c>
    </row>
    <row r="8" spans="1:5">
      <c r="A8" s="6" t="s">
        <v>60</v>
      </c>
      <c r="B8">
        <v>0.72464366666666669</v>
      </c>
      <c r="C8">
        <v>0</v>
      </c>
    </row>
    <row r="9" spans="1:5">
      <c r="A9" s="6" t="s">
        <v>61</v>
      </c>
      <c r="B9">
        <v>0.54619390000000001</v>
      </c>
      <c r="C9">
        <v>0.19912300000000002</v>
      </c>
    </row>
    <row r="10" spans="1:5">
      <c r="A10" s="6" t="s">
        <v>7</v>
      </c>
      <c r="B10">
        <v>0.56511300000000009</v>
      </c>
      <c r="C10">
        <v>0.18009966666666666</v>
      </c>
    </row>
    <row r="11" spans="1:5">
      <c r="A11" s="6" t="s">
        <v>62</v>
      </c>
      <c r="B11">
        <v>0.83829966666666655</v>
      </c>
      <c r="C11">
        <v>0.2725933333333333</v>
      </c>
    </row>
    <row r="12" spans="1:5">
      <c r="A12" s="6" t="s">
        <v>63</v>
      </c>
      <c r="B12">
        <v>0.30907599999999996</v>
      </c>
      <c r="C12">
        <v>0.13399366666666668</v>
      </c>
    </row>
    <row r="14" spans="1:5">
      <c r="A14" t="s">
        <v>64</v>
      </c>
    </row>
    <row r="15" spans="1:5">
      <c r="B15" t="s">
        <v>11</v>
      </c>
      <c r="C15" t="s">
        <v>65</v>
      </c>
      <c r="D15" t="s">
        <v>66</v>
      </c>
      <c r="E15" t="s">
        <v>67</v>
      </c>
    </row>
    <row r="16" spans="1:5" ht="17">
      <c r="A16" s="7" t="s">
        <v>68</v>
      </c>
      <c r="B16">
        <v>0.27337963202914201</v>
      </c>
      <c r="C16">
        <v>0.51980889991158996</v>
      </c>
      <c r="D16">
        <v>6.8908589490909999E-2</v>
      </c>
    </row>
    <row r="17" spans="1:4" ht="17">
      <c r="A17" s="7" t="s">
        <v>69</v>
      </c>
      <c r="B17">
        <v>0.84893048128342197</v>
      </c>
      <c r="C17">
        <v>0.92749999999999999</v>
      </c>
      <c r="D17">
        <v>0.12341918824074601</v>
      </c>
    </row>
    <row r="18" spans="1:4" ht="17">
      <c r="A18" s="7" t="s">
        <v>70</v>
      </c>
      <c r="B18">
        <v>0.37795366666666669</v>
      </c>
      <c r="C18">
        <v>0.31402400000000003</v>
      </c>
      <c r="D18">
        <v>0.410246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5A94-8E69-0C45-B63A-694E8DC65240}">
  <dimension ref="A1:E18"/>
  <sheetViews>
    <sheetView topLeftCell="A2" workbookViewId="0">
      <selection activeCell="F22" sqref="F22"/>
    </sheetView>
  </sheetViews>
  <sheetFormatPr baseColWidth="10" defaultRowHeight="16"/>
  <sheetData>
    <row r="1" spans="1:5">
      <c r="A1" t="s">
        <v>40</v>
      </c>
    </row>
    <row r="2" spans="1:5">
      <c r="B2" t="s">
        <v>41</v>
      </c>
      <c r="C2" t="s">
        <v>42</v>
      </c>
      <c r="D2" t="s">
        <v>43</v>
      </c>
      <c r="E2" t="s">
        <v>44</v>
      </c>
    </row>
    <row r="3" spans="1:5">
      <c r="A3" t="s">
        <v>11</v>
      </c>
      <c r="B3">
        <v>0.84399999999999997</v>
      </c>
      <c r="C3">
        <v>0.84379999999999999</v>
      </c>
      <c r="D3">
        <v>0.84399999999999997</v>
      </c>
      <c r="E3">
        <v>0.83889999999999998</v>
      </c>
    </row>
    <row r="4" spans="1:5">
      <c r="A4" t="s">
        <v>13</v>
      </c>
      <c r="B4">
        <v>0.83033828256543651</v>
      </c>
      <c r="C4">
        <v>0.83170406016602993</v>
      </c>
      <c r="D4" s="3">
        <v>0.83033828256543651</v>
      </c>
      <c r="E4" s="3">
        <v>0.82684818166181029</v>
      </c>
    </row>
    <row r="5" spans="1:5">
      <c r="A5" t="s">
        <v>45</v>
      </c>
      <c r="B5">
        <v>0.71330000000000005</v>
      </c>
      <c r="C5">
        <v>1</v>
      </c>
      <c r="D5">
        <v>0.71330000000000005</v>
      </c>
      <c r="E5">
        <v>0.8327</v>
      </c>
    </row>
    <row r="6" spans="1:5">
      <c r="A6" t="s">
        <v>46</v>
      </c>
      <c r="B6">
        <v>0.82220000000000004</v>
      </c>
      <c r="C6">
        <v>0.83109999999999995</v>
      </c>
      <c r="D6">
        <v>0.82220000000000004</v>
      </c>
      <c r="E6">
        <v>0.81679999999999997</v>
      </c>
    </row>
    <row r="7" spans="1:5">
      <c r="A7" t="s">
        <v>47</v>
      </c>
    </row>
    <row r="8" spans="1:5">
      <c r="B8" t="s">
        <v>41</v>
      </c>
      <c r="C8" t="s">
        <v>42</v>
      </c>
      <c r="D8" t="s">
        <v>43</v>
      </c>
      <c r="E8" t="s">
        <v>44</v>
      </c>
    </row>
    <row r="9" spans="1:5">
      <c r="A9" t="s">
        <v>11</v>
      </c>
      <c r="B9">
        <v>0.71430000000000005</v>
      </c>
      <c r="C9">
        <v>0.70109999999999995</v>
      </c>
      <c r="D9">
        <v>0.71430000000000005</v>
      </c>
      <c r="E9">
        <v>0.69710000000000005</v>
      </c>
    </row>
    <row r="10" spans="1:5">
      <c r="A10" t="s">
        <v>13</v>
      </c>
      <c r="B10">
        <v>0.96697637377223189</v>
      </c>
      <c r="C10">
        <v>0.98028006761113551</v>
      </c>
      <c r="D10" s="3">
        <v>0.96697637377223189</v>
      </c>
      <c r="E10" s="3">
        <v>0.97164996745418897</v>
      </c>
    </row>
    <row r="11" spans="1:5">
      <c r="A11" t="s">
        <v>45</v>
      </c>
      <c r="B11">
        <v>0.31430000000000002</v>
      </c>
      <c r="C11">
        <v>0.63700000000000001</v>
      </c>
      <c r="D11" s="3">
        <v>0.31430000000000002</v>
      </c>
      <c r="E11" s="3">
        <v>0.32550000000000001</v>
      </c>
    </row>
    <row r="12" spans="1:5">
      <c r="A12" t="s">
        <v>46</v>
      </c>
      <c r="B12">
        <v>0.73529999999999995</v>
      </c>
      <c r="C12">
        <v>0.74690000000000001</v>
      </c>
      <c r="D12">
        <v>0.73529999999999995</v>
      </c>
      <c r="E12">
        <v>0.74050000000000005</v>
      </c>
    </row>
    <row r="13" spans="1:5">
      <c r="A13" t="s">
        <v>48</v>
      </c>
    </row>
    <row r="14" spans="1:5">
      <c r="B14" t="s">
        <v>41</v>
      </c>
      <c r="C14" t="s">
        <v>42</v>
      </c>
      <c r="D14" t="s">
        <v>43</v>
      </c>
      <c r="E14" t="s">
        <v>44</v>
      </c>
    </row>
    <row r="15" spans="1:5">
      <c r="A15" t="s">
        <v>11</v>
      </c>
      <c r="B15">
        <v>0.7843</v>
      </c>
      <c r="C15">
        <v>0.7843</v>
      </c>
      <c r="D15">
        <v>0.7843</v>
      </c>
      <c r="E15">
        <v>0.78400000000000003</v>
      </c>
    </row>
    <row r="16" spans="1:5">
      <c r="A16" t="s">
        <v>13</v>
      </c>
      <c r="B16">
        <v>0.93175581870151003</v>
      </c>
      <c r="C16">
        <v>0.93490638809395821</v>
      </c>
      <c r="D16" s="3">
        <v>0.93175581870151003</v>
      </c>
      <c r="E16" s="3">
        <v>0.93149123966307457</v>
      </c>
    </row>
    <row r="17" spans="1:5">
      <c r="A17" t="s">
        <v>45</v>
      </c>
      <c r="B17">
        <v>0.58819999999999995</v>
      </c>
      <c r="C17">
        <v>0.61560000000000004</v>
      </c>
      <c r="D17">
        <v>0.58819999999999995</v>
      </c>
      <c r="E17">
        <v>0.59650000000000003</v>
      </c>
    </row>
    <row r="18" spans="1:5">
      <c r="A18" t="s">
        <v>46</v>
      </c>
      <c r="B18">
        <v>0.82350000000000001</v>
      </c>
      <c r="C18">
        <v>0.82920000000000005</v>
      </c>
      <c r="D18">
        <v>0.82350000000000001</v>
      </c>
      <c r="E18">
        <v>0.82350000000000001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0A73-8D15-EC43-9E3E-912F57DA916B}">
  <dimension ref="A1:P29"/>
  <sheetViews>
    <sheetView tabSelected="1" workbookViewId="0">
      <selection activeCell="L14" sqref="L14"/>
    </sheetView>
  </sheetViews>
  <sheetFormatPr baseColWidth="10" defaultRowHeight="16"/>
  <sheetData>
    <row r="1" spans="1:9">
      <c r="A1" t="s">
        <v>76</v>
      </c>
    </row>
    <row r="2" spans="1:9">
      <c r="A2" s="4" t="s">
        <v>71</v>
      </c>
      <c r="B2" t="s">
        <v>49</v>
      </c>
      <c r="C2" t="s">
        <v>11</v>
      </c>
      <c r="D2" t="s">
        <v>50</v>
      </c>
      <c r="E2" t="s">
        <v>51</v>
      </c>
      <c r="F2" t="s">
        <v>52</v>
      </c>
      <c r="G2" s="4" t="s">
        <v>53</v>
      </c>
      <c r="H2" t="s">
        <v>54</v>
      </c>
      <c r="I2" t="s">
        <v>72</v>
      </c>
    </row>
    <row r="3" spans="1:9">
      <c r="A3" s="4" t="s">
        <v>55</v>
      </c>
      <c r="B3">
        <v>-0.25871089402612002</v>
      </c>
      <c r="C3">
        <v>0.98635274438989795</v>
      </c>
      <c r="D3">
        <v>0.98687222690971099</v>
      </c>
      <c r="E3">
        <v>0.98158176708396605</v>
      </c>
      <c r="F3">
        <v>0.97322209438450102</v>
      </c>
      <c r="G3" s="4">
        <v>0.98612464106944397</v>
      </c>
      <c r="H3" t="s">
        <v>58</v>
      </c>
      <c r="I3">
        <v>0.98763263781070398</v>
      </c>
    </row>
    <row r="4" spans="1:9">
      <c r="A4" s="4" t="s">
        <v>56</v>
      </c>
      <c r="B4">
        <v>-0.28706406186953698</v>
      </c>
      <c r="C4">
        <v>0.98379020157649499</v>
      </c>
      <c r="D4">
        <v>0.98645147853812798</v>
      </c>
      <c r="E4">
        <v>0.98253348005972596</v>
      </c>
      <c r="F4">
        <v>0.96981610890766601</v>
      </c>
      <c r="G4" s="4">
        <v>0.99586525704123297</v>
      </c>
      <c r="H4" t="s">
        <v>58</v>
      </c>
      <c r="I4">
        <v>0.99065607417403301</v>
      </c>
    </row>
    <row r="5" spans="1:9">
      <c r="A5" s="4" t="s">
        <v>57</v>
      </c>
      <c r="B5">
        <v>-0.36942767231287299</v>
      </c>
      <c r="C5">
        <v>0.99017510591288005</v>
      </c>
      <c r="D5">
        <v>0.98940139456947795</v>
      </c>
      <c r="E5">
        <v>0.98396089383682195</v>
      </c>
      <c r="F5">
        <v>0.972323375055268</v>
      </c>
      <c r="G5" s="4">
        <v>0.98770465113727501</v>
      </c>
      <c r="H5" t="s">
        <v>58</v>
      </c>
      <c r="I5">
        <v>0.98919309411457002</v>
      </c>
    </row>
    <row r="8" spans="1:9">
      <c r="A8" s="8" t="s">
        <v>74</v>
      </c>
    </row>
    <row r="9" spans="1:9">
      <c r="A9" s="4" t="s">
        <v>75</v>
      </c>
      <c r="B9" t="s">
        <v>11</v>
      </c>
      <c r="C9" s="4" t="s">
        <v>53</v>
      </c>
      <c r="D9" t="s">
        <v>54</v>
      </c>
      <c r="E9" t="s">
        <v>18</v>
      </c>
      <c r="F9" t="s">
        <v>23</v>
      </c>
      <c r="G9" t="s">
        <v>24</v>
      </c>
      <c r="H9" t="s">
        <v>13</v>
      </c>
      <c r="I9" t="s">
        <v>72</v>
      </c>
    </row>
    <row r="10" spans="1:9">
      <c r="A10" s="4" t="s">
        <v>55</v>
      </c>
      <c r="B10">
        <v>4.6183051252620096E-3</v>
      </c>
      <c r="C10" s="4">
        <v>5.0761703999999998E-3</v>
      </c>
      <c r="D10">
        <v>1</v>
      </c>
      <c r="E10">
        <v>6.8856209140668503E-3</v>
      </c>
      <c r="F10">
        <v>6.8971207441073804E-3</v>
      </c>
      <c r="G10" s="9">
        <v>5.71282539450586E+16</v>
      </c>
      <c r="H10">
        <v>5.2817027490310803E-3</v>
      </c>
      <c r="I10">
        <v>4.3668225E-3</v>
      </c>
    </row>
    <row r="11" spans="1:9">
      <c r="A11" s="4" t="s">
        <v>56</v>
      </c>
      <c r="B11">
        <v>3.0761859288086098E-3</v>
      </c>
      <c r="C11" s="4">
        <v>6.4567843000000002E-4</v>
      </c>
      <c r="D11">
        <v>1</v>
      </c>
      <c r="E11">
        <v>6.5266877615013496E-4</v>
      </c>
      <c r="F11">
        <v>6.4660086571526499E-4</v>
      </c>
      <c r="G11" s="4">
        <v>1.3436966869087199E-3</v>
      </c>
      <c r="H11">
        <v>1.26929630649037E-3</v>
      </c>
      <c r="I11">
        <v>1.5400215999999999E-3</v>
      </c>
    </row>
    <row r="12" spans="1:9">
      <c r="A12" s="4" t="s">
        <v>57</v>
      </c>
      <c r="B12">
        <v>6.3387978547054802E-3</v>
      </c>
      <c r="C12" s="4">
        <v>7.9891709999999998E-3</v>
      </c>
      <c r="D12">
        <v>1</v>
      </c>
      <c r="E12">
        <v>9.8414885057476007E-3</v>
      </c>
      <c r="F12">
        <v>9.7857975922707296E-3</v>
      </c>
      <c r="G12" s="9">
        <v>1.4143584081096499E+19</v>
      </c>
      <c r="H12">
        <v>6.2914402291994499E-3</v>
      </c>
      <c r="I12">
        <v>7.1417162999999999E-3</v>
      </c>
    </row>
    <row r="16" spans="1:9">
      <c r="A16" s="8" t="s">
        <v>77</v>
      </c>
    </row>
    <row r="17" spans="1:16">
      <c r="A17" s="4" t="s">
        <v>75</v>
      </c>
      <c r="B17" t="s">
        <v>11</v>
      </c>
      <c r="C17" s="4" t="s">
        <v>53</v>
      </c>
      <c r="D17" t="s">
        <v>54</v>
      </c>
      <c r="E17" t="s">
        <v>18</v>
      </c>
      <c r="F17" t="s">
        <v>23</v>
      </c>
      <c r="G17" t="s">
        <v>24</v>
      </c>
      <c r="H17" t="s">
        <v>13</v>
      </c>
      <c r="I17" t="s">
        <v>72</v>
      </c>
      <c r="L17" s="4"/>
    </row>
    <row r="18" spans="1:16">
      <c r="A18" s="4" t="s">
        <v>55</v>
      </c>
      <c r="B18">
        <v>0.85421628798862803</v>
      </c>
      <c r="C18" s="4">
        <v>0.86531135352646105</v>
      </c>
      <c r="D18">
        <v>-1</v>
      </c>
      <c r="E18" s="4">
        <v>0.80765885414502303</v>
      </c>
      <c r="F18">
        <v>0.80779895227490495</v>
      </c>
      <c r="G18" s="10">
        <v>2.4234522866598201E-2</v>
      </c>
      <c r="H18">
        <v>0.80771178464333704</v>
      </c>
      <c r="I18">
        <v>0.86868275733656397</v>
      </c>
    </row>
    <row r="19" spans="1:16">
      <c r="A19" s="4" t="s">
        <v>56</v>
      </c>
      <c r="B19">
        <v>0.87789854281611401</v>
      </c>
      <c r="C19" s="4">
        <v>0.95678646684827895</v>
      </c>
      <c r="D19">
        <v>-1</v>
      </c>
      <c r="E19">
        <v>0.90188565164912904</v>
      </c>
      <c r="F19">
        <v>0.90059328670930805</v>
      </c>
      <c r="G19" s="4">
        <v>0.90465908840476295</v>
      </c>
      <c r="H19">
        <v>0.90115136812461105</v>
      </c>
      <c r="I19">
        <v>0.90778480538614903</v>
      </c>
    </row>
    <row r="20" spans="1:16">
      <c r="A20" s="4" t="s">
        <v>57</v>
      </c>
      <c r="B20">
        <v>0.97787881992881098</v>
      </c>
      <c r="C20" s="4">
        <v>0.95601457596061201</v>
      </c>
      <c r="D20">
        <v>-1</v>
      </c>
      <c r="E20" s="4">
        <v>0.94616798445936301</v>
      </c>
      <c r="F20">
        <v>0.94635829379629</v>
      </c>
      <c r="G20" s="4">
        <v>-0.148645598990408</v>
      </c>
      <c r="H20">
        <v>0.94665540479548005</v>
      </c>
      <c r="I20" s="4">
        <v>0.95595105954690296</v>
      </c>
    </row>
    <row r="24" spans="1:16">
      <c r="A24" s="8"/>
    </row>
    <row r="25" spans="1:16">
      <c r="A25" s="8" t="s">
        <v>78</v>
      </c>
    </row>
    <row r="26" spans="1:16">
      <c r="A26" s="4" t="s">
        <v>75</v>
      </c>
      <c r="B26" t="s">
        <v>11</v>
      </c>
      <c r="C26" s="4" t="s">
        <v>53</v>
      </c>
      <c r="D26" t="s">
        <v>54</v>
      </c>
      <c r="E26" t="s">
        <v>18</v>
      </c>
      <c r="F26" t="s">
        <v>23</v>
      </c>
      <c r="G26" t="s">
        <v>24</v>
      </c>
      <c r="H26" t="s">
        <v>13</v>
      </c>
      <c r="I26" t="s">
        <v>72</v>
      </c>
    </row>
    <row r="27" spans="1:16">
      <c r="A27" s="4" t="s">
        <v>55</v>
      </c>
      <c r="B27">
        <v>0.24533521999999999</v>
      </c>
      <c r="C27" s="4">
        <v>0.18741289999999999</v>
      </c>
      <c r="D27">
        <v>1</v>
      </c>
      <c r="E27" s="4">
        <v>0.352551829861945</v>
      </c>
      <c r="F27">
        <v>0.35225397648797402</v>
      </c>
      <c r="G27" s="9">
        <v>2.3541421222798099E+17</v>
      </c>
      <c r="H27">
        <v>0.35214074508004301</v>
      </c>
      <c r="I27">
        <v>0.19465895</v>
      </c>
      <c r="P27" s="11"/>
    </row>
    <row r="28" spans="1:16">
      <c r="A28" s="4" t="s">
        <v>56</v>
      </c>
      <c r="B28">
        <v>9.7066509999999995E-2</v>
      </c>
      <c r="C28" s="4">
        <v>3.2065876E-2</v>
      </c>
      <c r="D28">
        <v>1</v>
      </c>
      <c r="E28">
        <v>7.1817633021475605E-2</v>
      </c>
      <c r="F28">
        <v>7.2560862811746896E-2</v>
      </c>
      <c r="G28" s="4">
        <v>6.9270088801379498E-2</v>
      </c>
      <c r="H28">
        <v>7.1999791218169407E-2</v>
      </c>
      <c r="I28">
        <v>7.0320949999999993E-2</v>
      </c>
    </row>
    <row r="29" spans="1:16">
      <c r="A29" s="4" t="s">
        <v>57</v>
      </c>
      <c r="B29">
        <v>0.12994105</v>
      </c>
      <c r="C29" s="4">
        <v>0.2474459</v>
      </c>
      <c r="D29">
        <v>1</v>
      </c>
      <c r="E29" s="4">
        <v>0.27114021895159501</v>
      </c>
      <c r="F29">
        <v>0.27093275741117001</v>
      </c>
      <c r="G29" s="9">
        <v>3.6320440235533398E+19</v>
      </c>
      <c r="H29">
        <v>0.26918597379517101</v>
      </c>
      <c r="I29">
        <v>0.25251094000000002</v>
      </c>
      <c r="P2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cta</vt:lpstr>
      <vt:lpstr>bec</vt:lpstr>
      <vt:lpstr>moi</vt:lpstr>
      <vt:lpstr>imp</vt:lpstr>
      <vt:lpstr>gfp</vt:lpstr>
      <vt:lpstr>pert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艺术</dc:creator>
  <cp:lastModifiedBy>Liu, Tianyu</cp:lastModifiedBy>
  <dcterms:created xsi:type="dcterms:W3CDTF">2024-07-30T05:42:50Z</dcterms:created>
  <dcterms:modified xsi:type="dcterms:W3CDTF">2026-06-28T20:57:04Z</dcterms:modified>
</cp:coreProperties>
</file>